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0" l="1"/>
  <c r="C27" i="20"/>
  <c r="C28" i="20"/>
  <c r="C29" i="20"/>
  <c r="C30" i="20"/>
  <c r="C31" i="20"/>
  <c r="C32" i="20"/>
  <c r="C33" i="20"/>
  <c r="C34" i="20"/>
  <c r="C35" i="20"/>
  <c r="C36" i="20"/>
  <c r="C37" i="20"/>
  <c r="C38" i="20"/>
  <c r="D22" i="19"/>
  <c r="D12" i="19"/>
  <c r="D13" i="19"/>
  <c r="D14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C5" i="15"/>
  <c r="D15" i="19" l="1"/>
  <c r="D16" i="19" l="1"/>
  <c r="D17" i="19" l="1"/>
  <c r="D18" i="19" l="1"/>
  <c r="D19" i="19" l="1"/>
  <c r="D20" i="19" l="1"/>
  <c r="D21" i="19"/>
</calcChain>
</file>

<file path=xl/sharedStrings.xml><?xml version="1.0" encoding="utf-8"?>
<sst xmlns="http://schemas.openxmlformats.org/spreadsheetml/2006/main" count="410" uniqueCount="186">
  <si>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</si>
  <si>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</si>
  <si>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</si>
  <si>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</si>
  <si>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</si>
  <si>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</si>
  <si>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</si>
  <si>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</si>
  <si>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</si>
  <si>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</si>
  <si>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</si>
  <si>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</si>
  <si>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</si>
  <si>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</si>
  <si>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</si>
  <si>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</si>
  <si>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</si>
  <si>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</si>
  <si>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</si>
  <si>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</si>
  <si>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</si>
  <si>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</si>
  <si>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</si>
  <si>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</si>
  <si>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</si>
  <si>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</si>
  <si>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</si>
  <si>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</si>
  <si>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</si>
  <si>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</si>
  <si>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</si>
  <si>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</si>
  <si>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</si>
  <si>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</si>
  <si>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</si>
  <si>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</si>
  <si>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</si>
  <si>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</si>
  <si>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</si>
  <si>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</si>
  <si>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</si>
  <si>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</si>
  <si>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</si>
  <si>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</si>
  <si>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</si>
  <si>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</si>
  <si>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</si>
  <si>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</si>
  <si>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</si>
  <si>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</si>
  <si>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</si>
  <si>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</si>
  <si>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</si>
  <si>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</si>
  <si>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</si>
  <si>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</si>
  <si>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</si>
  <si>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</si>
  <si>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</si>
  <si>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</si>
  <si>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</si>
  <si>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</si>
  <si>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</si>
  <si>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</si>
  <si>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</si>
  <si>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</si>
  <si>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</si>
  <si>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</si>
  <si>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</si>
  <si>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</si>
  <si>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</si>
  <si>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</si>
  <si>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</si>
  <si>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</si>
  <si>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</si>
  <si>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</si>
  <si>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</si>
  <si>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</si>
  <si>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</si>
  <si>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</si>
  <si>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</si>
  <si>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</si>
  <si>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</si>
  <si>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</si>
  <si>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</si>
  <si>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</si>
  <si>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</si>
  <si>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</si>
  <si>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</si>
  <si>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</si>
  <si>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</si>
  <si>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</si>
  <si>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</si>
  <si>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</si>
  <si>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</si>
  <si>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</si>
  <si>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</si>
  <si>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</si>
  <si>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</si>
  <si>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</si>
  <si>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</si>
  <si>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</si>
  <si>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</si>
  <si>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</si>
  <si>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</si>
  <si>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</si>
  <si>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</si>
  <si>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</si>
  <si>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</si>
  <si>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</si>
  <si>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</si>
  <si>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</si>
  <si>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</si>
  <si>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</si>
  <si>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</si>
  <si>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</si>
  <si>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</si>
  <si>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</si>
  <si>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</si>
  <si>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</si>
  <si>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</si>
  <si>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</si>
  <si>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</si>
  <si>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</si>
  <si>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</si>
  <si>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</si>
  <si>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</si>
  <si>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</si>
  <si>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</si>
  <si>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</si>
  <si>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</si>
  <si>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</si>
  <si>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</si>
  <si>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</si>
  <si>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</si>
  <si>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</si>
  <si>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</si>
  <si>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</si>
  <si>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</si>
  <si>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</si>
  <si>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</si>
  <si>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</si>
  <si>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</si>
  <si>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</si>
  <si>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</si>
  <si>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</si>
  <si>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</si>
  <si>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</si>
  <si>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</si>
  <si>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</si>
  <si>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</si>
  <si>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</si>
  <si>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</si>
  <si>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</si>
  <si>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</si>
  <si>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</si>
  <si>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</si>
  <si>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</si>
  <si>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</si>
  <si>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</si>
  <si>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</si>
  <si>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</si>
  <si>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</si>
  <si>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</si>
  <si>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</si>
  <si>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</si>
  <si>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</si>
  <si>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</si>
  <si>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</si>
  <si>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</si>
  <si>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</si>
  <si>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</si>
  <si>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</si>
  <si>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</si>
  <si>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</si>
  <si>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</si>
  <si>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dates</t>
  </si>
  <si>
    <t>Convert text to columns wizard</t>
  </si>
  <si>
    <r>
      <t>1) First of all we select the cells</t>
    </r>
    <r>
      <rPr>
        <b/>
        <sz val="14"/>
        <color rgb="FF000000"/>
        <rFont val="Calibri"/>
        <family val="2"/>
        <scheme val="minor"/>
      </rPr>
      <t xml:space="preserve"> A16 to A54</t>
    </r>
    <r>
      <rPr>
        <sz val="14"/>
        <color rgb="FF000000"/>
        <rFont val="Calibri"/>
        <family val="2"/>
        <scheme val="minor"/>
      </rPr>
      <t xml:space="preserve"> that we want to split.</t>
    </r>
  </si>
  <si>
    <r>
      <t xml:space="preserve">2) Select </t>
    </r>
    <r>
      <rPr>
        <b/>
        <sz val="14"/>
        <color rgb="FF000000"/>
        <rFont val="Calibri"/>
        <family val="2"/>
        <scheme val="minor"/>
      </rPr>
      <t>Data &gt; Text to Columns.</t>
    </r>
    <r>
      <rPr>
        <sz val="14"/>
        <color rgb="FF000000"/>
        <rFont val="Calibri"/>
        <family val="2"/>
        <scheme val="minor"/>
      </rPr>
      <t xml:space="preserve"> 3)In the </t>
    </r>
    <r>
      <rPr>
        <b/>
        <sz val="14"/>
        <color rgb="FF000000"/>
        <rFont val="Calibri"/>
        <family val="2"/>
        <scheme val="minor"/>
      </rPr>
      <t xml:space="preserve">Convert Text to Columns </t>
    </r>
    <r>
      <rPr>
        <sz val="14"/>
        <color rgb="FF000000"/>
        <rFont val="Calibri"/>
        <family val="2"/>
        <scheme val="minor"/>
      </rPr>
      <t xml:space="preserve">Wizard, select </t>
    </r>
    <r>
      <rPr>
        <b/>
        <sz val="14"/>
        <color rgb="FF000000"/>
        <rFont val="Calibri"/>
        <family val="2"/>
        <scheme val="minor"/>
      </rPr>
      <t>Delimited &gt; Next</t>
    </r>
  </si>
  <si>
    <r>
      <t xml:space="preserve">4) Select the </t>
    </r>
    <r>
      <rPr>
        <b/>
        <sz val="14"/>
        <color rgb="FF000000"/>
        <rFont val="Calibri"/>
        <family val="2"/>
        <scheme val="minor"/>
      </rPr>
      <t>Delimiters</t>
    </r>
    <r>
      <rPr>
        <sz val="14"/>
        <color rgb="FF000000"/>
        <rFont val="Calibri"/>
        <family val="2"/>
        <scheme val="minor"/>
      </rPr>
      <t xml:space="preserve"> for our data i.e.</t>
    </r>
    <r>
      <rPr>
        <b/>
        <sz val="14"/>
        <color rgb="FF000000"/>
        <rFont val="Calibri"/>
        <family val="2"/>
        <scheme val="minor"/>
      </rPr>
      <t>(-)</t>
    </r>
    <r>
      <rPr>
        <sz val="14"/>
        <color rgb="FF000000"/>
        <rFont val="Calibri"/>
        <family val="2"/>
        <scheme val="minor"/>
      </rPr>
      <t xml:space="preserve">. We can see a preview of our data in the Data preview window. 5) Select </t>
    </r>
    <r>
      <rPr>
        <b/>
        <sz val="14"/>
        <color rgb="FF000000"/>
        <rFont val="Calibri"/>
        <family val="2"/>
        <scheme val="minor"/>
      </rPr>
      <t>Next.</t>
    </r>
  </si>
  <si>
    <r>
      <t xml:space="preserve">6) Select the </t>
    </r>
    <r>
      <rPr>
        <b/>
        <sz val="14"/>
        <color rgb="FF000000"/>
        <rFont val="Calibri"/>
        <family val="2"/>
        <scheme val="minor"/>
      </rPr>
      <t>Destination</t>
    </r>
    <r>
      <rPr>
        <sz val="14"/>
        <color rgb="FF000000"/>
        <rFont val="Calibri"/>
        <family val="2"/>
        <scheme val="minor"/>
      </rPr>
      <t xml:space="preserve"> in our worksheet i.e.</t>
    </r>
    <r>
      <rPr>
        <b/>
        <sz val="14"/>
        <color rgb="FF000000"/>
        <rFont val="Calibri"/>
        <family val="2"/>
        <scheme val="minor"/>
      </rPr>
      <t>(B17)</t>
    </r>
    <r>
      <rPr>
        <sz val="14"/>
        <color rgb="FF000000"/>
        <rFont val="Calibri"/>
        <family val="2"/>
        <scheme val="minor"/>
      </rPr>
      <t xml:space="preserve"> which is where we want the split data to appear. 7) Select </t>
    </r>
    <r>
      <rPr>
        <b/>
        <sz val="14"/>
        <color rgb="FF000000"/>
        <rFont val="Calibri"/>
        <family val="2"/>
        <scheme val="minor"/>
      </rPr>
      <t>Finish.</t>
    </r>
  </si>
  <si>
    <r>
      <t>1)</t>
    </r>
    <r>
      <rPr>
        <b/>
        <sz val="11"/>
        <color rgb="FF000000"/>
        <rFont val="Calibri"/>
        <family val="2"/>
        <scheme val="minor"/>
      </rPr>
      <t xml:space="preserve"> IF(ISNA(C12),0, C12) 2) SUM(D12:D21)</t>
    </r>
  </si>
  <si>
    <r>
      <t>First of all we apply</t>
    </r>
    <r>
      <rPr>
        <b/>
        <sz val="11"/>
        <color rgb="FF000000"/>
        <rFont val="Calibri"/>
        <family val="2"/>
        <scheme val="minor"/>
      </rPr>
      <t xml:space="preserve"> INDEX</t>
    </r>
    <r>
      <rPr>
        <sz val="11"/>
        <color rgb="FF000000"/>
        <rFont val="Calibri"/>
        <family val="2"/>
        <scheme val="minor"/>
      </rPr>
      <t xml:space="preserve"> function in which we have selected whole </t>
    </r>
    <r>
      <rPr>
        <b/>
        <sz val="11"/>
        <color rgb="FF000000"/>
        <rFont val="Calibri"/>
        <family val="2"/>
        <scheme val="minor"/>
      </rPr>
      <t>Table A as array</t>
    </r>
    <r>
      <rPr>
        <sz val="11"/>
        <color rgb="FF000000"/>
        <rFont val="Calibri"/>
        <family val="2"/>
        <scheme val="minor"/>
      </rPr>
      <t xml:space="preserve"> then in </t>
    </r>
    <r>
      <rPr>
        <b/>
        <sz val="11"/>
        <color rgb="FF000000"/>
        <rFont val="Calibri"/>
        <family val="2"/>
        <scheme val="minor"/>
      </rPr>
      <t>row_num</t>
    </r>
    <r>
      <rPr>
        <sz val="11"/>
        <color rgb="FF000000"/>
        <rFont val="Calibri"/>
        <family val="2"/>
        <scheme val="minor"/>
      </rPr>
      <t xml:space="preserve"> we apply </t>
    </r>
    <r>
      <rPr>
        <b/>
        <sz val="11"/>
        <color rgb="FF000000"/>
        <rFont val="Calibri"/>
        <family val="2"/>
        <scheme val="minor"/>
      </rPr>
      <t>MATCH</t>
    </r>
    <r>
      <rPr>
        <sz val="11"/>
        <color rgb="FF000000"/>
        <rFont val="Calibri"/>
        <family val="2"/>
        <scheme val="minor"/>
      </rPr>
      <t xml:space="preserve"> Function in which in </t>
    </r>
    <r>
      <rPr>
        <b/>
        <sz val="11"/>
        <color rgb="FF000000"/>
        <rFont val="Calibri"/>
        <family val="2"/>
        <scheme val="minor"/>
      </rPr>
      <t>lookup value</t>
    </r>
    <r>
      <rPr>
        <sz val="11"/>
        <color rgb="FF000000"/>
        <rFont val="Calibri"/>
        <family val="2"/>
        <scheme val="minor"/>
      </rPr>
      <t xml:space="preserve"> we apply </t>
    </r>
    <r>
      <rPr>
        <b/>
        <sz val="11"/>
        <color rgb="FF000000"/>
        <rFont val="Calibri"/>
        <family val="2"/>
        <scheme val="minor"/>
      </rPr>
      <t>VLOOKUP</t>
    </r>
    <r>
      <rPr>
        <sz val="11"/>
        <color rgb="FF000000"/>
        <rFont val="Calibri"/>
        <family val="2"/>
        <scheme val="minor"/>
      </rPr>
      <t xml:space="preserve"> Function in which first we selected T</t>
    </r>
    <r>
      <rPr>
        <b/>
        <sz val="11"/>
        <color rgb="FF000000"/>
        <rFont val="Calibri"/>
        <family val="2"/>
        <scheme val="minor"/>
      </rPr>
      <t>able_C name_1</t>
    </r>
    <r>
      <rPr>
        <sz val="11"/>
        <color rgb="FF000000"/>
        <rFont val="Calibri"/>
        <family val="2"/>
        <scheme val="minor"/>
      </rPr>
      <t xml:space="preserve"> value as</t>
    </r>
    <r>
      <rPr>
        <b/>
        <sz val="11"/>
        <color rgb="FF000000"/>
        <rFont val="Calibri"/>
        <family val="2"/>
        <scheme val="minor"/>
      </rPr>
      <t xml:space="preserve"> lookup value</t>
    </r>
    <r>
      <rPr>
        <sz val="11"/>
        <color rgb="FF000000"/>
        <rFont val="Calibri"/>
        <family val="2"/>
        <scheme val="minor"/>
      </rPr>
      <t xml:space="preserve"> then select </t>
    </r>
    <r>
      <rPr>
        <b/>
        <sz val="11"/>
        <color rgb="FF000000"/>
        <rFont val="Calibri"/>
        <family val="2"/>
        <scheme val="minor"/>
      </rPr>
      <t>Table_B as table array</t>
    </r>
    <r>
      <rPr>
        <sz val="11"/>
        <color rgb="FF000000"/>
        <rFont val="Calibri"/>
        <family val="2"/>
        <scheme val="minor"/>
      </rPr>
      <t xml:space="preserve"> then select </t>
    </r>
    <r>
      <rPr>
        <b/>
        <sz val="11"/>
        <color rgb="FF000000"/>
        <rFont val="Calibri"/>
        <family val="2"/>
        <scheme val="minor"/>
      </rPr>
      <t>2 i.e.Name as col_index_num</t>
    </r>
    <r>
      <rPr>
        <sz val="11"/>
        <color rgb="FF000000"/>
        <rFont val="Calibri"/>
        <family val="2"/>
        <scheme val="minor"/>
      </rPr>
      <t xml:space="preserve"> and </t>
    </r>
    <r>
      <rPr>
        <b/>
        <sz val="11"/>
        <color rgb="FF000000"/>
        <rFont val="Calibri"/>
        <family val="2"/>
        <scheme val="minor"/>
      </rPr>
      <t>False with exact match</t>
    </r>
    <r>
      <rPr>
        <sz val="11"/>
        <color rgb="FF000000"/>
        <rFont val="Calibri"/>
        <family val="2"/>
        <scheme val="minor"/>
      </rPr>
      <t xml:space="preserve"> then in </t>
    </r>
    <r>
      <rPr>
        <b/>
        <sz val="11"/>
        <color rgb="FF000000"/>
        <rFont val="Calibri"/>
        <family val="2"/>
        <scheme val="minor"/>
      </rPr>
      <t>lookup array</t>
    </r>
    <r>
      <rPr>
        <sz val="11"/>
        <color rgb="FF000000"/>
        <rFont val="Calibri"/>
        <family val="2"/>
        <scheme val="minor"/>
      </rPr>
      <t xml:space="preserve"> we select </t>
    </r>
    <r>
      <rPr>
        <b/>
        <sz val="11"/>
        <color rgb="FF000000"/>
        <rFont val="Calibri"/>
        <family val="2"/>
        <scheme val="minor"/>
      </rPr>
      <t>1st column of Table_A</t>
    </r>
    <r>
      <rPr>
        <sz val="11"/>
        <color rgb="FF000000"/>
        <rFont val="Calibri"/>
        <family val="2"/>
        <scheme val="minor"/>
      </rPr>
      <t xml:space="preserve"> and then we use</t>
    </r>
    <r>
      <rPr>
        <b/>
        <sz val="11"/>
        <color rgb="FF000000"/>
        <rFont val="Calibri"/>
        <family val="2"/>
        <scheme val="minor"/>
      </rPr>
      <t xml:space="preserve"> 0 for  exact match</t>
    </r>
    <r>
      <rPr>
        <sz val="11"/>
        <color rgb="FF000000"/>
        <rFont val="Calibri"/>
        <family val="2"/>
        <scheme val="minor"/>
      </rPr>
      <t xml:space="preserve">. Now in </t>
    </r>
    <r>
      <rPr>
        <b/>
        <sz val="11"/>
        <color rgb="FF000000"/>
        <rFont val="Calibri"/>
        <family val="2"/>
        <scheme val="minor"/>
      </rPr>
      <t xml:space="preserve">column_num </t>
    </r>
    <r>
      <rPr>
        <sz val="11"/>
        <color rgb="FF000000"/>
        <rFont val="Calibri"/>
        <family val="2"/>
        <scheme val="minor"/>
      </rPr>
      <t xml:space="preserve">we again apply </t>
    </r>
    <r>
      <rPr>
        <b/>
        <sz val="11"/>
        <color rgb="FF000000"/>
        <rFont val="Calibri"/>
        <family val="2"/>
        <scheme val="minor"/>
      </rPr>
      <t xml:space="preserve">MATCH </t>
    </r>
    <r>
      <rPr>
        <sz val="11"/>
        <color rgb="FF000000"/>
        <rFont val="Calibri"/>
        <family val="2"/>
        <scheme val="minor"/>
      </rPr>
      <t xml:space="preserve">Function in which in </t>
    </r>
    <r>
      <rPr>
        <b/>
        <sz val="11"/>
        <color rgb="FF000000"/>
        <rFont val="Calibri"/>
        <family val="2"/>
        <scheme val="minor"/>
      </rPr>
      <t>lookup value</t>
    </r>
    <r>
      <rPr>
        <sz val="11"/>
        <color rgb="FF000000"/>
        <rFont val="Calibri"/>
        <family val="2"/>
        <scheme val="minor"/>
      </rPr>
      <t xml:space="preserve"> we apply </t>
    </r>
    <r>
      <rPr>
        <b/>
        <sz val="11"/>
        <color rgb="FF000000"/>
        <rFont val="Calibri"/>
        <family val="2"/>
        <scheme val="minor"/>
      </rPr>
      <t xml:space="preserve">VLOOKUP </t>
    </r>
    <r>
      <rPr>
        <sz val="11"/>
        <color rgb="FF000000"/>
        <rFont val="Calibri"/>
        <family val="2"/>
        <scheme val="minor"/>
      </rPr>
      <t xml:space="preserve">Function in which first we selected </t>
    </r>
    <r>
      <rPr>
        <b/>
        <sz val="11"/>
        <color rgb="FF000000"/>
        <rFont val="Calibri"/>
        <family val="2"/>
        <scheme val="minor"/>
      </rPr>
      <t>Table_C name_2</t>
    </r>
    <r>
      <rPr>
        <sz val="11"/>
        <color rgb="FF000000"/>
        <rFont val="Calibri"/>
        <family val="2"/>
        <scheme val="minor"/>
      </rPr>
      <t xml:space="preserve"> value as </t>
    </r>
    <r>
      <rPr>
        <b/>
        <sz val="11"/>
        <color rgb="FF000000"/>
        <rFont val="Calibri"/>
        <family val="2"/>
        <scheme val="minor"/>
      </rPr>
      <t>lookup value</t>
    </r>
    <r>
      <rPr>
        <sz val="11"/>
        <color rgb="FF000000"/>
        <rFont val="Calibri"/>
        <family val="2"/>
        <scheme val="minor"/>
      </rPr>
      <t xml:space="preserve"> then select </t>
    </r>
    <r>
      <rPr>
        <b/>
        <sz val="11"/>
        <color rgb="FF000000"/>
        <rFont val="Calibri"/>
        <family val="2"/>
        <scheme val="minor"/>
      </rPr>
      <t xml:space="preserve">Table_B </t>
    </r>
    <r>
      <rPr>
        <sz val="11"/>
        <color rgb="FF000000"/>
        <rFont val="Calibri"/>
        <family val="2"/>
        <scheme val="minor"/>
      </rPr>
      <t xml:space="preserve">as </t>
    </r>
    <r>
      <rPr>
        <b/>
        <sz val="11"/>
        <color rgb="FF000000"/>
        <rFont val="Calibri"/>
        <family val="2"/>
        <scheme val="minor"/>
      </rPr>
      <t>table array</t>
    </r>
    <r>
      <rPr>
        <sz val="11"/>
        <color rgb="FF000000"/>
        <rFont val="Calibri"/>
        <family val="2"/>
        <scheme val="minor"/>
      </rPr>
      <t xml:space="preserve"> then select </t>
    </r>
    <r>
      <rPr>
        <b/>
        <sz val="11"/>
        <color rgb="FF000000"/>
        <rFont val="Calibri"/>
        <family val="2"/>
        <scheme val="minor"/>
      </rPr>
      <t>2 i.e.Name as col_index_num</t>
    </r>
    <r>
      <rPr>
        <sz val="11"/>
        <color rgb="FF000000"/>
        <rFont val="Calibri"/>
        <family val="2"/>
        <scheme val="minor"/>
      </rPr>
      <t xml:space="preserve"> and</t>
    </r>
    <r>
      <rPr>
        <b/>
        <sz val="11"/>
        <color rgb="FF000000"/>
        <rFont val="Calibri"/>
        <family val="2"/>
        <scheme val="minor"/>
      </rPr>
      <t xml:space="preserve"> False</t>
    </r>
    <r>
      <rPr>
        <sz val="11"/>
        <color rgb="FF000000"/>
        <rFont val="Calibri"/>
        <family val="2"/>
        <scheme val="minor"/>
      </rPr>
      <t xml:space="preserve"> with </t>
    </r>
    <r>
      <rPr>
        <b/>
        <sz val="11"/>
        <color rgb="FF000000"/>
        <rFont val="Calibri"/>
        <family val="2"/>
        <scheme val="minor"/>
      </rPr>
      <t>exact match</t>
    </r>
    <r>
      <rPr>
        <sz val="11"/>
        <color rgb="FF000000"/>
        <rFont val="Calibri"/>
        <family val="2"/>
        <scheme val="minor"/>
      </rPr>
      <t xml:space="preserve"> then in </t>
    </r>
    <r>
      <rPr>
        <b/>
        <sz val="11"/>
        <color rgb="FF000000"/>
        <rFont val="Calibri"/>
        <family val="2"/>
        <scheme val="minor"/>
      </rPr>
      <t xml:space="preserve">lookup array </t>
    </r>
    <r>
      <rPr>
        <sz val="11"/>
        <color rgb="FF000000"/>
        <rFont val="Calibri"/>
        <family val="2"/>
        <scheme val="minor"/>
      </rPr>
      <t xml:space="preserve">we select </t>
    </r>
    <r>
      <rPr>
        <b/>
        <sz val="11"/>
        <color rgb="FF000000"/>
        <rFont val="Calibri"/>
        <family val="2"/>
        <scheme val="minor"/>
      </rPr>
      <t>1st column of Table_A</t>
    </r>
    <r>
      <rPr>
        <sz val="11"/>
        <color rgb="FF000000"/>
        <rFont val="Calibri"/>
        <family val="2"/>
        <scheme val="minor"/>
      </rPr>
      <t xml:space="preserve"> and then we use</t>
    </r>
    <r>
      <rPr>
        <b/>
        <sz val="11"/>
        <color rgb="FF000000"/>
        <rFont val="Calibri"/>
        <family val="2"/>
        <scheme val="minor"/>
      </rPr>
      <t xml:space="preserve"> 0 for  exact match</t>
    </r>
    <r>
      <rPr>
        <sz val="11"/>
        <color rgb="FF000000"/>
        <rFont val="Calibri"/>
        <family val="2"/>
        <scheme val="minor"/>
      </rPr>
      <t>.</t>
    </r>
  </si>
  <si>
    <r>
      <t xml:space="preserve">In this we create new column of sales in which we have used </t>
    </r>
    <r>
      <rPr>
        <b/>
        <sz val="12"/>
        <color rgb="FF000000"/>
        <rFont val="Calibri"/>
        <family val="2"/>
        <scheme val="minor"/>
      </rPr>
      <t>ISNA</t>
    </r>
    <r>
      <rPr>
        <sz val="12"/>
        <color rgb="FF000000"/>
        <rFont val="Calibri"/>
        <family val="2"/>
        <scheme val="minor"/>
      </rPr>
      <t xml:space="preserve"> function within IF statement and substitute the </t>
    </r>
    <r>
      <rPr>
        <b/>
        <sz val="12"/>
        <color rgb="FF000000"/>
        <rFont val="Calibri"/>
        <family val="2"/>
        <scheme val="minor"/>
      </rPr>
      <t>NA</t>
    </r>
    <r>
      <rPr>
        <sz val="12"/>
        <color rgb="FF000000"/>
        <rFont val="Calibri"/>
        <family val="2"/>
        <scheme val="minor"/>
      </rPr>
      <t xml:space="preserve"> values to</t>
    </r>
    <r>
      <rPr>
        <b/>
        <sz val="12"/>
        <color rgb="FF000000"/>
        <rFont val="Calibri"/>
        <family val="2"/>
        <scheme val="minor"/>
      </rPr>
      <t xml:space="preserve"> 20</t>
    </r>
    <r>
      <rPr>
        <sz val="12"/>
        <color rgb="FF000000"/>
        <rFont val="Calibri"/>
        <family val="2"/>
        <scheme val="minor"/>
      </rPr>
      <t xml:space="preserve"> and reamining values as it is then at last to find sum we use </t>
    </r>
    <r>
      <rPr>
        <b/>
        <sz val="12"/>
        <color rgb="FF000000"/>
        <rFont val="Calibri"/>
        <family val="2"/>
        <scheme val="minor"/>
      </rPr>
      <t>SUM</t>
    </r>
    <r>
      <rPr>
        <sz val="12"/>
        <color rgb="FF000000"/>
        <rFont val="Calibri"/>
        <family val="2"/>
        <scheme val="minor"/>
      </rPr>
      <t xml:space="preserve"> function and select cells from </t>
    </r>
    <r>
      <rPr>
        <b/>
        <sz val="12"/>
        <color rgb="FF000000"/>
        <rFont val="Calibri"/>
        <family val="2"/>
        <scheme val="minor"/>
      </rPr>
      <t xml:space="preserve">D12 </t>
    </r>
    <r>
      <rPr>
        <sz val="12"/>
        <color rgb="FF000000"/>
        <rFont val="Calibri"/>
        <family val="2"/>
        <scheme val="minor"/>
      </rPr>
      <t xml:space="preserve">to </t>
    </r>
    <r>
      <rPr>
        <b/>
        <sz val="12"/>
        <color rgb="FF000000"/>
        <rFont val="Calibri"/>
        <family val="2"/>
        <scheme val="minor"/>
      </rPr>
      <t>D21.</t>
    </r>
  </si>
  <si>
    <r>
      <t>We use</t>
    </r>
    <r>
      <rPr>
        <b/>
        <sz val="11"/>
        <color rgb="FF000000"/>
        <rFont val="Calibri"/>
        <family val="2"/>
        <scheme val="minor"/>
      </rPr>
      <t xml:space="preserve"> INDEX($B$10:$J$18, MATCH(VLOOKUP(A23, $M$10:$N$18, 2, FALSE), $A$10:$A$18, 0), MATCH(VLOOKUP(B23, $M$10:$N$18, 2, FALSE), $B$9:$J$9, 0)) </t>
    </r>
    <r>
      <rPr>
        <sz val="11"/>
        <color rgb="FF000000"/>
        <rFont val="Calibri"/>
        <family val="2"/>
        <scheme val="minor"/>
      </rPr>
      <t>this formula</t>
    </r>
    <r>
      <rPr>
        <b/>
        <sz val="11"/>
        <color rgb="FF000000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</si>
</sst>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\-mm\-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">
    <dxf>
      <font>
        <color rgb="FF9C0006"/>
      </font>
    </dxf>
    <dxf>
      <font>
        <color rgb="FFFF0000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" activePane="bottomLeft" state="frozen"/>
      <selection activeCell="B1" sqref="B1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176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C1048576 E1:XFD1048576">
    <cfRule type="cellIs" dxfId="2" priority="1" operator="equal">
      <formula>0</formula>
    </cfRule>
    <cfRule type="cellIs" dxfId="1" priority="2" operator="equal">
      <formula>-1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AA456425-0DE8-4E55-A18A-A49AB9972E24}">
            <xm:f>NOT(ISERROR(SEARCH($J$2,G12)))</xm:f>
            <xm:f>$J$2</xm:f>
            <x14:dxf>
              <font>
                <color rgb="FF9C0006"/>
              </font>
            </x14:dxf>
          </x14:cfRule>
          <xm:sqref>G12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25">
      <c r="A6" s="6">
        <v>4</v>
      </c>
      <c r="B6" s="2" t="s">
        <v>105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I27" sqref="I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IFERROR(VLOOKUP(Dataset!A2,Dataset!$1:$1048576,7,FALSE),"")</f>
        <v>2.7</v>
      </c>
      <c r="C6" s="12">
        <f>IFERROR(VLOOKUP(Dataset!A2,Dataset!$1:$1048576,14,FALSE),"")</f>
        <v>7.6</v>
      </c>
      <c r="D6" s="12">
        <f>IFERROR(VLOOKUP(Dataset!A2,Dataset!$1:$1048576,18,FALSE),"")</f>
        <v>4.2</v>
      </c>
      <c r="E6" s="12">
        <f>IFERROR(VLOOKUP(Dataset!A2,Dataset!$1:$1048576,20,FALSE),"")</f>
        <v>8.9</v>
      </c>
      <c r="F6" s="8">
        <f>IFERROR(VLOOKUP(Dataset!A2,Dataset!$1:$1048576,22,FALSE),"")</f>
        <v>4.2</v>
      </c>
    </row>
    <row r="7" spans="1:7" ht="15" x14ac:dyDescent="0.25">
      <c r="A7" s="7" t="s">
        <v>4</v>
      </c>
      <c r="B7" s="12">
        <f>IFERROR(VLOOKUP(Dataset!A3,Dataset!$1:$1048576,7,FALSE),"")</f>
        <v>2.7</v>
      </c>
      <c r="C7" s="12">
        <f>IFERROR(VLOOKUP(Dataset!A3,Dataset!$1:$1048576,14,FALSE),"")</f>
        <v>7.6</v>
      </c>
      <c r="D7" s="12">
        <f>IFERROR(VLOOKUP(Dataset!A3,Dataset!$1:$1048576,18,FALSE),"")</f>
        <v>4.2</v>
      </c>
      <c r="E7" s="12">
        <f>IFERROR(VLOOKUP(Dataset!A3,Dataset!$1:$1048576,20,FALSE),"")</f>
        <v>8.9</v>
      </c>
      <c r="F7" s="8">
        <f>IFERROR(VLOOKUP(Dataset!A3,Dataset!$1:$1048576,22,FALSE),"")</f>
        <v>4.2</v>
      </c>
    </row>
    <row r="8" spans="1:7" ht="15" x14ac:dyDescent="0.25">
      <c r="A8" s="7" t="s">
        <v>7</v>
      </c>
      <c r="B8" s="12">
        <f>IFERROR(VLOOKUP(Dataset!A4,Dataset!$1:$1048576,7,FALSE),"")</f>
        <v>3.6</v>
      </c>
      <c r="C8" s="12">
        <f>IFERROR(VLOOKUP(Dataset!A4,Dataset!$1:$1048576,14,FALSE),"")</f>
        <v>11.1</v>
      </c>
      <c r="D8" s="12">
        <f>IFERROR(VLOOKUP(Dataset!A4,Dataset!$1:$1048576,18,FALSE),"")</f>
        <v>5.8</v>
      </c>
      <c r="E8" s="12">
        <f>IFERROR(VLOOKUP(Dataset!A4,Dataset!$1:$1048576,20,FALSE),"")</f>
        <v>12.2</v>
      </c>
      <c r="F8" s="8">
        <f>IFERROR(VLOOKUP(Dataset!A4,Dataset!$1:$1048576,22,FALSE),"")</f>
        <v>5.8</v>
      </c>
    </row>
    <row r="9" spans="1:7" ht="15" x14ac:dyDescent="0.25">
      <c r="A9" s="7" t="s">
        <v>8</v>
      </c>
      <c r="B9" s="12">
        <f>IFERROR(VLOOKUP(Dataset!A5,Dataset!$1:$1048576,7,FALSE),"")</f>
        <v>4.9000000000000004</v>
      </c>
      <c r="C9" s="12">
        <f>IFERROR(VLOOKUP(Dataset!A5,Dataset!$1:$1048576,14,FALSE),"")</f>
        <v>13.3</v>
      </c>
      <c r="D9" s="12">
        <f>IFERROR(VLOOKUP(Dataset!A5,Dataset!$1:$1048576,18,FALSE),"")</f>
        <v>8.1</v>
      </c>
      <c r="E9" s="12">
        <f>IFERROR(VLOOKUP(Dataset!A5,Dataset!$1:$1048576,20,FALSE),"")</f>
        <v>17</v>
      </c>
      <c r="F9" s="8">
        <f>IFERROR(VLOOKUP(Dataset!A5,Dataset!$1:$1048576,22,FALSE),"")</f>
        <v>8.1</v>
      </c>
    </row>
    <row r="10" spans="1:7" ht="15" x14ac:dyDescent="0.25">
      <c r="A10" s="7" t="s">
        <v>11</v>
      </c>
      <c r="B10" s="12">
        <f>IFERROR(VLOOKUP(Dataset!A6,Dataset!$1:$1048576,7,FALSE),"")</f>
        <v>6.6</v>
      </c>
      <c r="C10" s="12">
        <f>IFERROR(VLOOKUP(Dataset!A6,Dataset!$1:$1048576,14,FALSE),"")</f>
        <v>18</v>
      </c>
      <c r="D10" s="12">
        <f>IFERROR(VLOOKUP(Dataset!A6,Dataset!$1:$1048576,18,FALSE),"")</f>
        <v>11</v>
      </c>
      <c r="E10" s="12">
        <f>IFERROR(VLOOKUP(Dataset!A6,Dataset!$1:$1048576,20,FALSE),"")</f>
        <v>22.5</v>
      </c>
      <c r="F10" s="8">
        <f>IFERROR(VLOOKUP(Dataset!A6,Dataset!$1:$1048576,22,FALSE),"")</f>
        <v>11</v>
      </c>
    </row>
    <row r="11" spans="1:7" ht="15" x14ac:dyDescent="0.25">
      <c r="A11" s="7" t="s">
        <v>12</v>
      </c>
      <c r="B11" s="12">
        <f>IFERROR(VLOOKUP(Dataset!A7,Dataset!$1:$1048576,7,FALSE),"")</f>
        <v>7.1</v>
      </c>
      <c r="C11" s="12">
        <f>IFERROR(VLOOKUP(Dataset!A7,Dataset!$1:$1048576,14,FALSE),"")</f>
        <v>21.5</v>
      </c>
      <c r="D11" s="12">
        <f>IFERROR(VLOOKUP(Dataset!A7,Dataset!$1:$1048576,18,FALSE),"")</f>
        <v>12.8</v>
      </c>
      <c r="E11" s="12">
        <f>IFERROR(VLOOKUP(Dataset!A7,Dataset!$1:$1048576,20,FALSE),"")</f>
        <v>26.1</v>
      </c>
      <c r="F11" s="8">
        <f>IFERROR(VLOOKUP(Dataset!A7,Dataset!$1:$1048576,22,FALSE),"")</f>
        <v>12.8</v>
      </c>
    </row>
    <row r="12" spans="1:7" ht="15" x14ac:dyDescent="0.25">
      <c r="A12" s="7" t="s">
        <v>14</v>
      </c>
      <c r="B12" s="12">
        <f>IFERROR(VLOOKUP(Dataset!A8,Dataset!$1:$1048576,7,FALSE),"")</f>
        <v>9.4</v>
      </c>
      <c r="C12" s="12">
        <f>IFERROR(VLOOKUP(Dataset!A8,Dataset!$1:$1048576,14,FALSE),"")</f>
        <v>28.3</v>
      </c>
      <c r="D12" s="12">
        <f>IFERROR(VLOOKUP(Dataset!A8,Dataset!$1:$1048576,18,FALSE),"")</f>
        <v>16.100000000000001</v>
      </c>
      <c r="E12" s="12">
        <f>IFERROR(VLOOKUP(Dataset!A8,Dataset!$1:$1048576,20,FALSE),"")</f>
        <v>32.799999999999997</v>
      </c>
      <c r="F12" s="8">
        <f>IFERROR(VLOOKUP(Dataset!A8,Dataset!$1:$1048576,22,FALSE),"")</f>
        <v>16.100000000000001</v>
      </c>
    </row>
    <row r="13" spans="1:7" ht="15" x14ac:dyDescent="0.25">
      <c r="A13" s="7" t="s">
        <v>15</v>
      </c>
      <c r="B13" s="12">
        <f>IFERROR(VLOOKUP(Dataset!A9,Dataset!$1:$1048576,7,FALSE),"")</f>
        <v>11.6</v>
      </c>
      <c r="C13" s="12">
        <f>IFERROR(VLOOKUP(Dataset!A9,Dataset!$1:$1048576,14,FALSE),"")</f>
        <v>35.200000000000003</v>
      </c>
      <c r="D13" s="12">
        <f>IFERROR(VLOOKUP(Dataset!A9,Dataset!$1:$1048576,18,FALSE),"")</f>
        <v>21.3</v>
      </c>
      <c r="E13" s="12">
        <f>IFERROR(VLOOKUP(Dataset!A9,Dataset!$1:$1048576,20,FALSE),"")</f>
        <v>43</v>
      </c>
      <c r="F13" s="8">
        <f>IFERROR(VLOOKUP(Dataset!A9,Dataset!$1:$1048576,22,FALSE),"")</f>
        <v>21.3</v>
      </c>
    </row>
    <row r="14" spans="1:7" ht="15" x14ac:dyDescent="0.25">
      <c r="A14" s="7" t="s">
        <v>16</v>
      </c>
      <c r="B14" s="12">
        <f>IFERROR(VLOOKUP(Dataset!A10,Dataset!$1:$1048576,7,FALSE),"")</f>
        <v>16.100000000000001</v>
      </c>
      <c r="C14" s="12">
        <f>IFERROR(VLOOKUP(Dataset!A10,Dataset!$1:$1048576,14,FALSE),"")</f>
        <v>49</v>
      </c>
      <c r="D14" s="12">
        <f>IFERROR(VLOOKUP(Dataset!A10,Dataset!$1:$1048576,18,FALSE),"")</f>
        <v>29.1</v>
      </c>
      <c r="E14" s="12">
        <f>IFERROR(VLOOKUP(Dataset!A10,Dataset!$1:$1048576,20,FALSE),"")</f>
        <v>59</v>
      </c>
      <c r="F14" s="8">
        <f>IFERROR(VLOOKUP(Dataset!A10,Dataset!$1:$1048576,22,FALSE),"")</f>
        <v>29.1</v>
      </c>
    </row>
    <row r="15" spans="1:7" ht="15" x14ac:dyDescent="0.25">
      <c r="A15" s="7" t="s">
        <v>18</v>
      </c>
      <c r="B15" s="12">
        <f>IFERROR(VLOOKUP(Dataset!A11,Dataset!$1:$1048576,7,FALSE),"")</f>
        <v>18.399999999999999</v>
      </c>
      <c r="C15" s="12">
        <f>IFERROR(VLOOKUP(Dataset!A11,Dataset!$1:$1048576,14,FALSE),"")</f>
        <v>55.6</v>
      </c>
      <c r="D15" s="12">
        <f>IFERROR(VLOOKUP(Dataset!A11,Dataset!$1:$1048576,18,FALSE),"")</f>
        <v>33.799999999999997</v>
      </c>
      <c r="E15" s="12">
        <f>IFERROR(VLOOKUP(Dataset!A11,Dataset!$1:$1048576,20,FALSE),"")</f>
        <v>67.900000000000006</v>
      </c>
      <c r="F15" s="8">
        <f>IFERROR(VLOOKUP(Dataset!A11,Dataset!$1:$1048576,22,FALSE),"")</f>
        <v>33.799999999999997</v>
      </c>
    </row>
    <row r="16" spans="1:7" ht="15" x14ac:dyDescent="0.25">
      <c r="A16" s="7" t="s">
        <v>20</v>
      </c>
      <c r="B16" s="12">
        <f>IFERROR(VLOOKUP(Dataset!A12,Dataset!$1:$1048576,7,FALSE),"")</f>
        <v>0</v>
      </c>
      <c r="C16" s="12">
        <f>IFERROR(VLOOKUP(Dataset!A12,Dataset!$1:$1048576,14,FALSE),"")</f>
        <v>0</v>
      </c>
      <c r="D16" s="12">
        <f>IFERROR(VLOOKUP(Dataset!A12,Dataset!$1:$1048576,18,FALSE),"")</f>
        <v>0</v>
      </c>
      <c r="E16" s="12">
        <f>IFERROR(VLOOKUP(Dataset!A12,Dataset!$1:$1048576,20,FALSE),"")</f>
        <v>0</v>
      </c>
      <c r="F16" s="8">
        <f>IFERROR(VLOOKUP(Dataset!A12,Dataset!$1:$1048576,22,FALSE),"")</f>
        <v>0</v>
      </c>
    </row>
    <row r="17" spans="1:6" ht="15" x14ac:dyDescent="0.25">
      <c r="A17" s="7" t="s">
        <v>22</v>
      </c>
      <c r="B17" s="12">
        <f>IFERROR(VLOOKUP(Dataset!A13,Dataset!$1:$1048576,7,FALSE),"")</f>
        <v>21.9</v>
      </c>
      <c r="C17" s="12">
        <f>IFERROR(VLOOKUP(Dataset!A13,Dataset!$1:$1048576,14,FALSE),"")</f>
        <v>61.5</v>
      </c>
      <c r="D17" s="12">
        <f>IFERROR(VLOOKUP(Dataset!A13,Dataset!$1:$1048576,18,FALSE),"")</f>
        <v>40.1</v>
      </c>
      <c r="E17" s="12">
        <f>IFERROR(VLOOKUP(Dataset!A13,Dataset!$1:$1048576,20,FALSE),"")</f>
        <v>76.599999999999994</v>
      </c>
      <c r="F17" s="8">
        <f>IFERROR(VLOOKUP(Dataset!A13,Dataset!$1:$1048576,22,FALSE),"")</f>
        <v>40.1</v>
      </c>
    </row>
    <row r="18" spans="1:6" ht="15" x14ac:dyDescent="0.25">
      <c r="A18" s="7" t="s">
        <v>23</v>
      </c>
      <c r="B18" s="12">
        <f>IFERROR(VLOOKUP(Dataset!A14,Dataset!$1:$1048576,7,FALSE),"")</f>
        <v>23.5</v>
      </c>
      <c r="C18" s="12">
        <f>IFERROR(VLOOKUP(Dataset!A14,Dataset!$1:$1048576,14,FALSE),"")</f>
        <v>70.8</v>
      </c>
      <c r="D18" s="12">
        <f>IFERROR(VLOOKUP(Dataset!A14,Dataset!$1:$1048576,18,FALSE),"")</f>
        <v>42.7</v>
      </c>
      <c r="E18" s="12">
        <f>IFERROR(VLOOKUP(Dataset!A14,Dataset!$1:$1048576,20,FALSE),"")</f>
        <v>86.6</v>
      </c>
      <c r="F18" s="8">
        <f>IFERROR(VLOOKUP(Dataset!A14,Dataset!$1:$1048576,22,FALSE),"")</f>
        <v>42.7</v>
      </c>
    </row>
    <row r="19" spans="1:6" ht="15" x14ac:dyDescent="0.25">
      <c r="A19" s="7" t="s">
        <v>24</v>
      </c>
      <c r="B19" s="12">
        <f>IFERROR(VLOOKUP(Dataset!A15,Dataset!$1:$1048576,7,FALSE),"")</f>
        <v>26.8</v>
      </c>
      <c r="C19" s="12">
        <f>IFERROR(VLOOKUP(Dataset!A15,Dataset!$1:$1048576,14,FALSE),"")</f>
        <v>79.599999999999994</v>
      </c>
      <c r="D19" s="12">
        <f>IFERROR(VLOOKUP(Dataset!A15,Dataset!$1:$1048576,18,FALSE),"")</f>
        <v>47.9</v>
      </c>
      <c r="E19" s="12">
        <f>IFERROR(VLOOKUP(Dataset!A15,Dataset!$1:$1048576,20,FALSE),"")</f>
        <v>96.8</v>
      </c>
      <c r="F19" s="8">
        <f>IFERROR(VLOOKUP(Dataset!A15,Dataset!$1:$1048576,22,FALSE),"")</f>
        <v>47.9</v>
      </c>
    </row>
    <row r="20" spans="1:6" ht="15" x14ac:dyDescent="0.25">
      <c r="A20" s="7" t="s">
        <v>28</v>
      </c>
      <c r="B20" s="12">
        <f>IFERROR(VLOOKUP(Dataset!A16,Dataset!$1:$1048576,7,FALSE),"")</f>
        <v>28</v>
      </c>
      <c r="C20" s="12">
        <f>IFERROR(VLOOKUP(Dataset!A16,Dataset!$1:$1048576,14,FALSE),"")</f>
        <v>83.2</v>
      </c>
      <c r="D20" s="12">
        <f>IFERROR(VLOOKUP(Dataset!A16,Dataset!$1:$1048576,18,FALSE),"")</f>
        <v>50.1</v>
      </c>
      <c r="E20" s="12">
        <f>IFERROR(VLOOKUP(Dataset!A16,Dataset!$1:$1048576,20,FALSE),"")</f>
        <v>101.3</v>
      </c>
      <c r="F20" s="8">
        <f>IFERROR(VLOOKUP(Dataset!A16,Dataset!$1:$1048576,22,FALSE),"")</f>
        <v>50.1</v>
      </c>
    </row>
    <row r="21" spans="1:6" ht="15" x14ac:dyDescent="0.25">
      <c r="A21" s="7" t="s">
        <v>57</v>
      </c>
      <c r="B21" s="12">
        <f>IFERROR(VLOOKUP(Dataset!A17,Dataset!$1:$1048576,7,FALSE),"")</f>
        <v>28.5</v>
      </c>
      <c r="C21" s="12">
        <f>IFERROR(VLOOKUP(Dataset!A17,Dataset!$1:$1048576,14,FALSE),"")</f>
        <v>85.4</v>
      </c>
      <c r="D21" s="12">
        <f>IFERROR(VLOOKUP(Dataset!A17,Dataset!$1:$1048576,18,FALSE),"")</f>
        <v>52.3</v>
      </c>
      <c r="E21" s="12">
        <f>IFERROR(VLOOKUP(Dataset!A17,Dataset!$1:$1048576,20,FALSE),"")</f>
        <v>106.1</v>
      </c>
      <c r="F21" s="8">
        <f>IFERROR(VLOOKUP(Dataset!A17,Dataset!$1:$1048576,22,FALSE),"")</f>
        <v>52.3</v>
      </c>
    </row>
    <row r="22" spans="1:6" ht="15" x14ac:dyDescent="0.25">
      <c r="A22" s="7" t="s">
        <v>58</v>
      </c>
      <c r="B22" s="12">
        <f>IFERROR(VLOOKUP(Dataset!A18,Dataset!$1:$1048576,7,FALSE),"")</f>
        <v>29.1</v>
      </c>
      <c r="C22" s="12">
        <f>IFERROR(VLOOKUP(Dataset!A18,Dataset!$1:$1048576,14,FALSE),"")</f>
        <v>87.6</v>
      </c>
      <c r="D22" s="12">
        <f>IFERROR(VLOOKUP(Dataset!A18,Dataset!$1:$1048576,18,FALSE),"")</f>
        <v>53.7</v>
      </c>
      <c r="E22" s="12">
        <f>IFERROR(VLOOKUP(Dataset!A18,Dataset!$1:$1048576,20,FALSE),"")</f>
        <v>108.8</v>
      </c>
      <c r="F22" s="8">
        <f>IFERROR(VLOOKUP(Dataset!A18,Dataset!$1:$1048576,22,FALSE),"")</f>
        <v>53.7</v>
      </c>
    </row>
    <row r="23" spans="1:6" ht="15" x14ac:dyDescent="0.25">
      <c r="A23" s="7" t="s">
        <v>31</v>
      </c>
      <c r="B23" s="12">
        <f>IFERROR(VLOOKUP(Dataset!A19,Dataset!$1:$1048576,7,FALSE),"")</f>
        <v>30.7</v>
      </c>
      <c r="C23" s="12">
        <f>IFERROR(VLOOKUP(Dataset!A19,Dataset!$1:$1048576,14,FALSE),"")</f>
        <v>92.1</v>
      </c>
      <c r="D23" s="12">
        <f>IFERROR(VLOOKUP(Dataset!A19,Dataset!$1:$1048576,18,FALSE),"")</f>
        <v>57</v>
      </c>
      <c r="E23" s="12">
        <f>IFERROR(VLOOKUP(Dataset!A19,Dataset!$1:$1048576,20,FALSE),"")</f>
        <v>115.1</v>
      </c>
      <c r="F23" s="8">
        <f>IFERROR(VLOOKUP(Dataset!A19,Dataset!$1:$1048576,22,FALSE),"")</f>
        <v>57</v>
      </c>
    </row>
    <row r="24" spans="1:6" ht="15" x14ac:dyDescent="0.25">
      <c r="A24" s="7" t="s">
        <v>32</v>
      </c>
      <c r="B24" s="12">
        <f>IFERROR(VLOOKUP(Dataset!A20,Dataset!$1:$1048576,7,FALSE),"")</f>
        <v>33.799999999999997</v>
      </c>
      <c r="C24" s="12">
        <f>IFERROR(VLOOKUP(Dataset!A20,Dataset!$1:$1048576,14,FALSE),"")</f>
        <v>101.3</v>
      </c>
      <c r="D24" s="12">
        <f>IFERROR(VLOOKUP(Dataset!A20,Dataset!$1:$1048576,18,FALSE),"")</f>
        <v>61.4</v>
      </c>
      <c r="E24" s="12">
        <f>IFERROR(VLOOKUP(Dataset!A20,Dataset!$1:$1048576,20,FALSE),"")</f>
        <v>124.4</v>
      </c>
      <c r="F24" s="8">
        <f>IFERROR(VLOOKUP(Dataset!A20,Dataset!$1:$1048576,22,FALSE),"")</f>
        <v>61.4</v>
      </c>
    </row>
    <row r="25" spans="1:6" ht="15" x14ac:dyDescent="0.25">
      <c r="A25" s="7" t="s">
        <v>34</v>
      </c>
      <c r="B25" s="12">
        <f>IFERROR(VLOOKUP(Dataset!A21,Dataset!$1:$1048576,7,FALSE),"")</f>
        <v>34.700000000000003</v>
      </c>
      <c r="C25" s="12">
        <f>IFERROR(VLOOKUP(Dataset!A21,Dataset!$1:$1048576,14,FALSE),"")</f>
        <v>106.1</v>
      </c>
      <c r="D25" s="12">
        <f>IFERROR(VLOOKUP(Dataset!A21,Dataset!$1:$1048576,18,FALSE),"")</f>
        <v>63.6</v>
      </c>
      <c r="E25" s="12">
        <f>IFERROR(VLOOKUP(Dataset!A21,Dataset!$1:$1048576,20,FALSE),"")</f>
        <v>128.6</v>
      </c>
      <c r="F25" s="8">
        <f>IFERROR(VLOOKUP(Dataset!A21,Dataset!$1:$1048576,22,FALSE),"")</f>
        <v>63.6</v>
      </c>
    </row>
    <row r="26" spans="1:6" ht="15" x14ac:dyDescent="0.25">
      <c r="A26" s="7" t="s">
        <v>37</v>
      </c>
      <c r="B26" s="12">
        <f>IFERROR(VLOOKUP(Dataset!A22,Dataset!$1:$1048576,7,FALSE),"")</f>
        <v>36.5</v>
      </c>
      <c r="C26" s="12">
        <f>IFERROR(VLOOKUP(Dataset!A22,Dataset!$1:$1048576,14,FALSE),"")</f>
        <v>110.3</v>
      </c>
      <c r="D26" s="12">
        <f>IFERROR(VLOOKUP(Dataset!A22,Dataset!$1:$1048576,18,FALSE),"")</f>
        <v>65.900000000000006</v>
      </c>
      <c r="E26" s="12">
        <f>IFERROR(VLOOKUP(Dataset!A22,Dataset!$1:$1048576,20,FALSE),"")</f>
        <v>133.4</v>
      </c>
      <c r="F26" s="8">
        <f>IFERROR(VLOOKUP(Dataset!A22,Dataset!$1:$1048576,22,FALSE),"")</f>
        <v>65.900000000000006</v>
      </c>
    </row>
    <row r="27" spans="1:6" ht="15" x14ac:dyDescent="0.25">
      <c r="A27" s="7" t="s">
        <v>39</v>
      </c>
      <c r="B27" s="12">
        <f>IFERROR(VLOOKUP(Dataset!A23,Dataset!$1:$1048576,7,FALSE),"")</f>
        <v>38</v>
      </c>
      <c r="C27" s="12">
        <f>IFERROR(VLOOKUP(Dataset!A23,Dataset!$1:$1048576,14,FALSE),"")</f>
        <v>115.5</v>
      </c>
      <c r="D27" s="12">
        <f>IFERROR(VLOOKUP(Dataset!A23,Dataset!$1:$1048576,18,FALSE),"")</f>
        <v>68.7</v>
      </c>
      <c r="E27" s="12">
        <f>IFERROR(VLOOKUP(Dataset!A23,Dataset!$1:$1048576,20,FALSE),"")</f>
        <v>138.80000000000001</v>
      </c>
      <c r="F27" s="8">
        <f>IFERROR(VLOOKUP(Dataset!A23,Dataset!$1:$1048576,22,FALSE),"")</f>
        <v>68.7</v>
      </c>
    </row>
    <row r="28" spans="1:6" ht="15" x14ac:dyDescent="0.25">
      <c r="A28" s="19" t="s">
        <v>82</v>
      </c>
      <c r="B28" s="31">
        <f>MIN(B6:B27)</f>
        <v>0</v>
      </c>
      <c r="C28" s="31">
        <f t="shared" ref="C28:F28" si="0">MIN(C6:C27)</f>
        <v>0</v>
      </c>
      <c r="D28" s="31">
        <f t="shared" si="0"/>
        <v>0</v>
      </c>
      <c r="E28" s="31">
        <f t="shared" si="0"/>
        <v>0</v>
      </c>
      <c r="F28" s="31">
        <f t="shared" si="0"/>
        <v>0</v>
      </c>
    </row>
    <row r="29" spans="1:6" ht="15" x14ac:dyDescent="0.25">
      <c r="A29" s="19" t="s">
        <v>83</v>
      </c>
      <c r="B29" s="31">
        <f>MAX(B6:B27)</f>
        <v>38</v>
      </c>
      <c r="C29" s="31">
        <f t="shared" ref="C29:F29" si="1">MAX(C6:C27)</f>
        <v>115.5</v>
      </c>
      <c r="D29" s="31">
        <f t="shared" si="1"/>
        <v>68.7</v>
      </c>
      <c r="E29" s="31">
        <f t="shared" si="1"/>
        <v>138.80000000000001</v>
      </c>
      <c r="F29" s="31">
        <f t="shared" si="1"/>
        <v>68.7</v>
      </c>
    </row>
    <row r="30" spans="1:6" ht="15" x14ac:dyDescent="0.25">
      <c r="A30" s="19" t="s">
        <v>84</v>
      </c>
      <c r="B30" s="31">
        <f>AVERAGE(B6:B27)</f>
        <v>18.845454545454547</v>
      </c>
      <c r="C30" s="31">
        <f t="shared" ref="C30:F30" si="2">AVERAGE(C6:C27)</f>
        <v>56.390909090909098</v>
      </c>
      <c r="D30" s="31">
        <f t="shared" si="2"/>
        <v>34.081818181818186</v>
      </c>
      <c r="E30" s="31">
        <f t="shared" si="2"/>
        <v>68.854545454545459</v>
      </c>
      <c r="F30" s="31">
        <f t="shared" si="2"/>
        <v>34.081818181818186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zoomScaleNormal="100" workbookViewId="0">
      <selection activeCell="A7" sqref="A7"/>
    </sheetView>
  </sheetViews>
  <sheetFormatPr defaultColWidth="11" defaultRowHeight="15" x14ac:dyDescent="0.25"/>
  <cols>
    <col min="1" max="1" width="39.83203125" style="1" bestFit="1" customWidth="1"/>
    <col min="2" max="2" width="11" style="1" customWidth="1"/>
    <col min="3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22.5" customHeight="1" x14ac:dyDescent="0.3">
      <c r="A5" s="43" t="s">
        <v>53</v>
      </c>
      <c r="B5" s="40" t="s">
        <v>177</v>
      </c>
    </row>
    <row r="6" spans="1:10" ht="18.75" x14ac:dyDescent="0.3">
      <c r="A6" s="43" t="s">
        <v>152</v>
      </c>
      <c r="B6" s="40" t="s">
        <v>178</v>
      </c>
    </row>
    <row r="7" spans="1:10" ht="21.75" customHeight="1" x14ac:dyDescent="0.3">
      <c r="A7" s="43"/>
      <c r="B7" s="40" t="s">
        <v>179</v>
      </c>
    </row>
    <row r="8" spans="1:10" ht="21.75" customHeight="1" x14ac:dyDescent="0.3">
      <c r="B8" s="40" t="s">
        <v>180</v>
      </c>
    </row>
    <row r="9" spans="1:10" ht="21.75" customHeight="1" x14ac:dyDescent="0.3">
      <c r="B9" s="40" t="s">
        <v>181</v>
      </c>
    </row>
    <row r="10" spans="1:10" ht="18" customHeight="1" x14ac:dyDescent="0.35">
      <c r="A10" s="18" t="s">
        <v>164</v>
      </c>
      <c r="I10" s="2"/>
      <c r="J10" s="2"/>
    </row>
    <row r="11" spans="1:10" x14ac:dyDescent="0.25">
      <c r="A11" s="33" t="s">
        <v>102</v>
      </c>
      <c r="B11" s="17" t="s">
        <v>49</v>
      </c>
      <c r="C11" s="17" t="s">
        <v>50</v>
      </c>
      <c r="D11" s="17" t="s">
        <v>51</v>
      </c>
      <c r="E11" s="17" t="s">
        <v>52</v>
      </c>
      <c r="F11" s="17" t="s">
        <v>54</v>
      </c>
      <c r="I11" s="2"/>
      <c r="J11" s="2"/>
    </row>
    <row r="12" spans="1:10" x14ac:dyDescent="0.25">
      <c r="A12" s="9" t="s">
        <v>120</v>
      </c>
      <c r="B12" s="13">
        <v>20000</v>
      </c>
      <c r="C12" s="13" t="s">
        <v>5</v>
      </c>
      <c r="D12" s="13">
        <v>0</v>
      </c>
      <c r="E12" s="11" t="s">
        <v>6</v>
      </c>
      <c r="F12" s="11">
        <v>24</v>
      </c>
      <c r="I12" s="2"/>
      <c r="J12" s="2"/>
    </row>
    <row r="15" spans="1:10" ht="23.25" x14ac:dyDescent="0.35">
      <c r="A15" s="18" t="s">
        <v>161</v>
      </c>
    </row>
    <row r="16" spans="1:10" x14ac:dyDescent="0.25">
      <c r="A16" s="14" t="s">
        <v>103</v>
      </c>
      <c r="B16" s="17" t="s">
        <v>49</v>
      </c>
      <c r="C16" s="15" t="s">
        <v>50</v>
      </c>
      <c r="D16" s="17" t="s">
        <v>51</v>
      </c>
      <c r="E16" s="15" t="s">
        <v>52</v>
      </c>
      <c r="F16" s="17" t="s">
        <v>54</v>
      </c>
    </row>
    <row r="17" spans="1:6" x14ac:dyDescent="0.25">
      <c r="A17" s="7" t="s">
        <v>120</v>
      </c>
      <c r="B17" s="12">
        <v>20000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121</v>
      </c>
      <c r="B18" s="12">
        <v>20002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122</v>
      </c>
      <c r="B19" s="12">
        <v>20004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123</v>
      </c>
      <c r="B20" s="12">
        <v>20006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124</v>
      </c>
      <c r="B21" s="12">
        <v>20008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125</v>
      </c>
      <c r="B22" s="12">
        <v>20010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126</v>
      </c>
      <c r="B23" s="12">
        <v>20012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127</v>
      </c>
      <c r="B24" s="12">
        <v>20014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128</v>
      </c>
      <c r="B25" s="12">
        <v>20016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129</v>
      </c>
      <c r="B26" s="12">
        <v>20018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130</v>
      </c>
      <c r="B27" s="12">
        <v>20020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131</v>
      </c>
      <c r="B28" s="12">
        <v>20022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132</v>
      </c>
      <c r="B29" s="12">
        <v>20024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133</v>
      </c>
      <c r="B30" s="12">
        <v>20026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134</v>
      </c>
      <c r="B31" s="12">
        <v>20028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135</v>
      </c>
      <c r="B32" s="12">
        <v>20030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136</v>
      </c>
      <c r="B33" s="12">
        <v>20032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137</v>
      </c>
      <c r="B34" s="12">
        <v>20034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138</v>
      </c>
      <c r="B35" s="12">
        <v>20036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139</v>
      </c>
      <c r="B36" s="12">
        <v>20038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140</v>
      </c>
      <c r="B37" s="12">
        <v>20040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141</v>
      </c>
      <c r="B38" s="12">
        <v>20042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142</v>
      </c>
      <c r="B39" s="12">
        <v>20044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143</v>
      </c>
      <c r="B40" s="12">
        <v>20046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144</v>
      </c>
      <c r="B41" s="12">
        <v>20048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145</v>
      </c>
      <c r="B42" s="12">
        <v>20050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146</v>
      </c>
      <c r="B43" s="12">
        <v>20052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147</v>
      </c>
      <c r="B44" s="12">
        <v>20054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148</v>
      </c>
      <c r="B45" s="12">
        <v>20058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149</v>
      </c>
      <c r="B46" s="12">
        <v>20060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111</v>
      </c>
      <c r="B47" s="12">
        <v>21000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112</v>
      </c>
      <c r="B48" s="12">
        <v>21002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113</v>
      </c>
      <c r="B49" s="12">
        <v>21004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114</v>
      </c>
      <c r="B50" s="12">
        <v>21006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115</v>
      </c>
      <c r="B51" s="12">
        <v>21008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116</v>
      </c>
      <c r="B52" s="12">
        <v>21010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117</v>
      </c>
      <c r="B53" s="12">
        <v>21012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7" t="s">
        <v>118</v>
      </c>
      <c r="B54" s="12">
        <v>21014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25">
      <c r="A55" s="9" t="s">
        <v>119</v>
      </c>
      <c r="B55" s="13">
        <v>21016</v>
      </c>
      <c r="C55" s="10" t="s">
        <v>5</v>
      </c>
      <c r="D55" s="13">
        <v>0</v>
      </c>
      <c r="E55" s="10" t="s">
        <v>6</v>
      </c>
      <c r="F55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A8" sqref="A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2" t="s">
        <v>85</v>
      </c>
      <c r="B1" s="41" t="s">
        <v>166</v>
      </c>
    </row>
    <row r="2" spans="1:4" ht="18.75" x14ac:dyDescent="0.3">
      <c r="B2" s="40" t="s">
        <v>165</v>
      </c>
    </row>
    <row r="5" spans="1:4" ht="15" x14ac:dyDescent="0.25">
      <c r="B5" s="1" t="s">
        <v>150</v>
      </c>
    </row>
    <row r="6" spans="1:4" ht="15" x14ac:dyDescent="0.25">
      <c r="A6" s="3" t="s">
        <v>53</v>
      </c>
      <c r="B6" s="1" t="s">
        <v>182</v>
      </c>
    </row>
    <row r="7" spans="1:4" ht="15.75" x14ac:dyDescent="0.25">
      <c r="A7" s="3" t="s">
        <v>152</v>
      </c>
      <c r="B7" s="47" t="s">
        <v>184</v>
      </c>
    </row>
    <row r="10" spans="1:4" ht="23.25" x14ac:dyDescent="0.35">
      <c r="A10" s="18" t="s">
        <v>161</v>
      </c>
    </row>
    <row r="11" spans="1:4" ht="15" x14ac:dyDescent="0.25">
      <c r="A11" s="32" t="s">
        <v>86</v>
      </c>
      <c r="B11" s="17" t="s">
        <v>87</v>
      </c>
      <c r="C11" s="17" t="s">
        <v>88</v>
      </c>
      <c r="D11" s="17" t="s">
        <v>88</v>
      </c>
    </row>
    <row r="12" spans="1:4" ht="15" x14ac:dyDescent="0.25">
      <c r="A12" s="32">
        <v>44927</v>
      </c>
      <c r="B12" s="17" t="s">
        <v>59</v>
      </c>
      <c r="C12" s="17">
        <v>200</v>
      </c>
      <c r="D12" s="17">
        <f>IF(ISNA(C12),20,C12)</f>
        <v>200</v>
      </c>
    </row>
    <row r="13" spans="1:4" ht="15" x14ac:dyDescent="0.25">
      <c r="A13" s="32">
        <v>44928</v>
      </c>
      <c r="B13" s="17" t="s">
        <v>60</v>
      </c>
      <c r="C13" s="17" t="e">
        <v>#N/A</v>
      </c>
      <c r="D13" s="17">
        <f t="shared" ref="D13:D20" si="0">IF(ISNA(C13),20,C13)</f>
        <v>20</v>
      </c>
    </row>
    <row r="14" spans="1:4" ht="15" x14ac:dyDescent="0.25">
      <c r="A14" s="32">
        <v>44929</v>
      </c>
      <c r="B14" s="17" t="s">
        <v>61</v>
      </c>
      <c r="C14" s="17">
        <v>50</v>
      </c>
      <c r="D14" s="17">
        <f t="shared" si="0"/>
        <v>50</v>
      </c>
    </row>
    <row r="15" spans="1:4" ht="15" x14ac:dyDescent="0.25">
      <c r="A15" s="32">
        <v>44930</v>
      </c>
      <c r="B15" s="17" t="s">
        <v>62</v>
      </c>
      <c r="C15" s="17" t="e">
        <v>#N/A</v>
      </c>
      <c r="D15" s="17">
        <f t="shared" si="0"/>
        <v>20</v>
      </c>
    </row>
    <row r="16" spans="1:4" ht="15" x14ac:dyDescent="0.25">
      <c r="A16" s="32">
        <v>44931</v>
      </c>
      <c r="B16" s="17" t="s">
        <v>63</v>
      </c>
      <c r="C16" s="17">
        <v>10</v>
      </c>
      <c r="D16" s="17">
        <f t="shared" si="0"/>
        <v>10</v>
      </c>
    </row>
    <row r="17" spans="1:4" ht="15" x14ac:dyDescent="0.25">
      <c r="A17" s="32">
        <v>44932</v>
      </c>
      <c r="B17" s="17" t="s">
        <v>153</v>
      </c>
      <c r="C17" s="17">
        <v>150</v>
      </c>
      <c r="D17" s="17">
        <f t="shared" si="0"/>
        <v>150</v>
      </c>
    </row>
    <row r="18" spans="1:4" ht="15" x14ac:dyDescent="0.25">
      <c r="A18" s="32">
        <v>44933</v>
      </c>
      <c r="B18" s="17" t="s">
        <v>154</v>
      </c>
      <c r="C18" s="17">
        <v>80</v>
      </c>
      <c r="D18" s="17">
        <f t="shared" si="0"/>
        <v>80</v>
      </c>
    </row>
    <row r="19" spans="1:4" ht="15" x14ac:dyDescent="0.25">
      <c r="A19" s="32">
        <v>44934</v>
      </c>
      <c r="B19" s="17" t="s">
        <v>155</v>
      </c>
      <c r="C19" s="17" t="e">
        <v>#N/A</v>
      </c>
      <c r="D19" s="17">
        <f t="shared" si="0"/>
        <v>20</v>
      </c>
    </row>
    <row r="20" spans="1:4" ht="15" x14ac:dyDescent="0.25">
      <c r="A20" s="32">
        <v>44935</v>
      </c>
      <c r="B20" s="17" t="s">
        <v>156</v>
      </c>
      <c r="C20" s="17">
        <v>30</v>
      </c>
      <c r="D20" s="17">
        <f t="shared" si="0"/>
        <v>30</v>
      </c>
    </row>
    <row r="21" spans="1:4" ht="15" x14ac:dyDescent="0.25">
      <c r="A21" s="32">
        <v>44936</v>
      </c>
      <c r="B21" s="17" t="s">
        <v>157</v>
      </c>
      <c r="C21" s="17" t="e">
        <v>#N/A</v>
      </c>
      <c r="D21" s="17">
        <f>IF(ISNA(C21),20,C21)</f>
        <v>20</v>
      </c>
    </row>
    <row r="22" spans="1:4" ht="15" x14ac:dyDescent="0.25">
      <c r="B22" s="17" t="s">
        <v>158</v>
      </c>
      <c r="C22" s="25"/>
      <c r="D22" s="25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8"/>
  <sheetViews>
    <sheetView tabSelected="1" topLeftCell="A2" zoomScaleNormal="100" workbookViewId="0">
      <selection activeCell="O10" sqref="O1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  <c r="C4" s="1" t="s">
        <v>185</v>
      </c>
    </row>
    <row r="5" spans="1:14" ht="18.75" x14ac:dyDescent="0.3">
      <c r="A5" s="43" t="s">
        <v>152</v>
      </c>
      <c r="B5" s="1" t="s">
        <v>183</v>
      </c>
    </row>
    <row r="6" spans="1:14" ht="15" x14ac:dyDescent="0.25">
      <c r="A6" s="3"/>
      <c r="B6" s="1"/>
    </row>
    <row r="11" spans="1:14" ht="23.25" x14ac:dyDescent="0.35">
      <c r="A11" s="18" t="s">
        <v>161</v>
      </c>
      <c r="M11" s="18" t="s">
        <v>162</v>
      </c>
    </row>
    <row r="12" spans="1:14" ht="15" x14ac:dyDescent="0.25">
      <c r="A12" s="26"/>
      <c r="B12" s="26" t="s">
        <v>89</v>
      </c>
      <c r="C12" s="26" t="s">
        <v>90</v>
      </c>
      <c r="D12" s="26" t="s">
        <v>91</v>
      </c>
      <c r="E12" s="26" t="s">
        <v>92</v>
      </c>
      <c r="F12" s="26" t="s">
        <v>93</v>
      </c>
      <c r="G12" s="26" t="s">
        <v>94</v>
      </c>
      <c r="H12" s="26" t="s">
        <v>95</v>
      </c>
      <c r="I12" s="26" t="s">
        <v>96</v>
      </c>
      <c r="J12" s="26" t="s">
        <v>97</v>
      </c>
      <c r="M12" s="19" t="s">
        <v>43</v>
      </c>
      <c r="N12" s="19" t="s">
        <v>99</v>
      </c>
    </row>
    <row r="13" spans="1:14" ht="15" x14ac:dyDescent="0.25">
      <c r="A13" s="26" t="s">
        <v>89</v>
      </c>
      <c r="B13" s="25">
        <v>-1</v>
      </c>
      <c r="C13" s="25">
        <v>95</v>
      </c>
      <c r="D13" s="25">
        <v>-1</v>
      </c>
      <c r="E13" s="25">
        <v>185</v>
      </c>
      <c r="F13" s="25">
        <v>255</v>
      </c>
      <c r="G13" s="25">
        <v>305</v>
      </c>
      <c r="H13" s="25">
        <v>415</v>
      </c>
      <c r="I13" s="25">
        <v>480</v>
      </c>
      <c r="J13" s="25">
        <v>525</v>
      </c>
      <c r="M13" s="12">
        <v>10100</v>
      </c>
      <c r="N13" s="12" t="s">
        <v>89</v>
      </c>
    </row>
    <row r="14" spans="1:14" ht="15" x14ac:dyDescent="0.25">
      <c r="A14" s="26" t="s">
        <v>90</v>
      </c>
      <c r="B14" s="25">
        <v>95</v>
      </c>
      <c r="C14" s="25">
        <v>-1</v>
      </c>
      <c r="D14" s="25">
        <v>-1</v>
      </c>
      <c r="E14" s="25">
        <v>90</v>
      </c>
      <c r="F14" s="25">
        <v>160</v>
      </c>
      <c r="G14" s="25">
        <v>210</v>
      </c>
      <c r="H14" s="25">
        <v>325</v>
      </c>
      <c r="I14" s="25">
        <v>390</v>
      </c>
      <c r="J14" s="25">
        <v>430</v>
      </c>
      <c r="M14" s="12">
        <v>10102</v>
      </c>
      <c r="N14" s="12" t="s">
        <v>90</v>
      </c>
    </row>
    <row r="15" spans="1:14" ht="15" x14ac:dyDescent="0.25">
      <c r="A15" s="26" t="s">
        <v>91</v>
      </c>
      <c r="B15" s="25">
        <v>-1</v>
      </c>
      <c r="C15" s="25">
        <v>-1</v>
      </c>
      <c r="D15" s="25">
        <v>-1</v>
      </c>
      <c r="E15" s="25">
        <v>60</v>
      </c>
      <c r="F15" s="25">
        <v>130</v>
      </c>
      <c r="G15" s="25">
        <v>180</v>
      </c>
      <c r="H15" s="25">
        <v>295</v>
      </c>
      <c r="I15" s="25">
        <v>355</v>
      </c>
      <c r="J15" s="25">
        <v>400</v>
      </c>
      <c r="M15" s="12">
        <v>10104</v>
      </c>
      <c r="N15" s="12" t="s">
        <v>91</v>
      </c>
    </row>
    <row r="16" spans="1:14" ht="15" x14ac:dyDescent="0.25">
      <c r="A16" s="26" t="s">
        <v>92</v>
      </c>
      <c r="B16" s="25">
        <v>185</v>
      </c>
      <c r="C16" s="25">
        <v>90</v>
      </c>
      <c r="D16" s="25">
        <v>60</v>
      </c>
      <c r="E16" s="25">
        <v>-1</v>
      </c>
      <c r="F16" s="25">
        <v>70</v>
      </c>
      <c r="G16" s="25">
        <v>120</v>
      </c>
      <c r="H16" s="25">
        <v>235</v>
      </c>
      <c r="I16" s="25">
        <v>300</v>
      </c>
      <c r="J16" s="25">
        <v>340</v>
      </c>
      <c r="M16" s="12">
        <v>10106</v>
      </c>
      <c r="N16" s="12" t="s">
        <v>92</v>
      </c>
    </row>
    <row r="17" spans="1:14" ht="15" x14ac:dyDescent="0.25">
      <c r="A17" s="26" t="s">
        <v>93</v>
      </c>
      <c r="B17" s="25">
        <v>255</v>
      </c>
      <c r="C17" s="25">
        <v>160</v>
      </c>
      <c r="D17" s="25">
        <v>130</v>
      </c>
      <c r="E17" s="25">
        <v>70</v>
      </c>
      <c r="F17" s="25">
        <v>-1</v>
      </c>
      <c r="G17" s="25">
        <v>50</v>
      </c>
      <c r="H17" s="25">
        <v>165</v>
      </c>
      <c r="I17" s="25">
        <v>230</v>
      </c>
      <c r="J17" s="25">
        <v>270</v>
      </c>
      <c r="M17" s="12">
        <v>10108</v>
      </c>
      <c r="N17" s="12" t="s">
        <v>93</v>
      </c>
    </row>
    <row r="18" spans="1:14" ht="15" x14ac:dyDescent="0.25">
      <c r="A18" s="26" t="s">
        <v>94</v>
      </c>
      <c r="B18" s="25">
        <v>305</v>
      </c>
      <c r="C18" s="25">
        <v>210</v>
      </c>
      <c r="D18" s="25">
        <v>180</v>
      </c>
      <c r="E18" s="25">
        <v>120</v>
      </c>
      <c r="F18" s="25">
        <v>50</v>
      </c>
      <c r="G18" s="25">
        <v>-1</v>
      </c>
      <c r="H18" s="25">
        <v>115</v>
      </c>
      <c r="I18" s="25">
        <v>180</v>
      </c>
      <c r="J18" s="25">
        <v>220</v>
      </c>
      <c r="M18" s="12">
        <v>10110</v>
      </c>
      <c r="N18" s="12" t="s">
        <v>94</v>
      </c>
    </row>
    <row r="19" spans="1:14" ht="15" x14ac:dyDescent="0.25">
      <c r="A19" s="26" t="s">
        <v>95</v>
      </c>
      <c r="B19" s="25">
        <v>415</v>
      </c>
      <c r="C19" s="25">
        <v>325</v>
      </c>
      <c r="D19" s="25">
        <v>295</v>
      </c>
      <c r="E19" s="25">
        <v>235</v>
      </c>
      <c r="F19" s="25">
        <v>165</v>
      </c>
      <c r="G19" s="25">
        <v>115</v>
      </c>
      <c r="H19" s="25">
        <v>-1</v>
      </c>
      <c r="I19" s="25">
        <v>65</v>
      </c>
      <c r="J19" s="25">
        <v>105</v>
      </c>
      <c r="M19" s="12">
        <v>10112</v>
      </c>
      <c r="N19" s="12" t="s">
        <v>95</v>
      </c>
    </row>
    <row r="20" spans="1:14" ht="15" x14ac:dyDescent="0.25">
      <c r="A20" s="26" t="s">
        <v>96</v>
      </c>
      <c r="B20" s="25">
        <v>480</v>
      </c>
      <c r="C20" s="25">
        <v>390</v>
      </c>
      <c r="D20" s="25">
        <v>355</v>
      </c>
      <c r="E20" s="25">
        <v>300</v>
      </c>
      <c r="F20" s="25">
        <v>230</v>
      </c>
      <c r="G20" s="25">
        <v>180</v>
      </c>
      <c r="H20" s="25">
        <v>65</v>
      </c>
      <c r="I20" s="25">
        <v>-1</v>
      </c>
      <c r="J20" s="25">
        <v>40</v>
      </c>
      <c r="M20" s="12">
        <v>10114</v>
      </c>
      <c r="N20" s="12" t="s">
        <v>96</v>
      </c>
    </row>
    <row r="21" spans="1:14" ht="15" x14ac:dyDescent="0.25">
      <c r="A21" s="26" t="s">
        <v>97</v>
      </c>
      <c r="B21" s="25">
        <v>525</v>
      </c>
      <c r="C21" s="25">
        <v>430</v>
      </c>
      <c r="D21" s="25">
        <v>400</v>
      </c>
      <c r="E21" s="25">
        <v>340</v>
      </c>
      <c r="F21" s="25">
        <v>270</v>
      </c>
      <c r="G21" s="25">
        <v>220</v>
      </c>
      <c r="H21" s="25">
        <v>105</v>
      </c>
      <c r="I21" s="25">
        <v>40</v>
      </c>
      <c r="J21" s="25">
        <v>-1</v>
      </c>
      <c r="M21" s="13">
        <v>10116</v>
      </c>
      <c r="N21" s="13" t="s">
        <v>97</v>
      </c>
    </row>
    <row r="24" spans="1:14" ht="23.25" x14ac:dyDescent="0.35">
      <c r="A24" s="18" t="s">
        <v>167</v>
      </c>
    </row>
    <row r="25" spans="1:14" ht="15" x14ac:dyDescent="0.25">
      <c r="A25" s="14" t="s">
        <v>100</v>
      </c>
      <c r="B25" s="17" t="s">
        <v>101</v>
      </c>
      <c r="C25" s="16" t="s">
        <v>102</v>
      </c>
    </row>
    <row r="26" spans="1:14" ht="15" x14ac:dyDescent="0.25">
      <c r="A26" s="7">
        <v>10100</v>
      </c>
      <c r="B26" s="12">
        <v>10102</v>
      </c>
      <c r="C26" s="44">
        <f>INDEX($B$13:$J$21, MATCH(VLOOKUP(A26, $M$13:$N$21, 2, FALSE), $A$13:$A$21, 0), MATCH(VLOOKUP(B26, $M$13:$N$21, 2, FALSE), $B$12:$J$12, 0))</f>
        <v>95</v>
      </c>
    </row>
    <row r="27" spans="1:14" ht="15" x14ac:dyDescent="0.25">
      <c r="A27" s="7">
        <v>10100</v>
      </c>
      <c r="B27" s="12">
        <v>10104</v>
      </c>
      <c r="C27" s="44">
        <f t="shared" ref="C27:C38" si="0">INDEX($B$13:$J$21, MATCH(VLOOKUP(A27, $M$13:$N$21, 2, FALSE), $A$13:$A$21, 0), MATCH(VLOOKUP(B27, $M$13:$N$21, 2, FALSE), $B$12:$J$12, 0))</f>
        <v>-1</v>
      </c>
    </row>
    <row r="28" spans="1:14" ht="15" x14ac:dyDescent="0.25">
      <c r="A28" s="7">
        <v>10108</v>
      </c>
      <c r="B28" s="12">
        <v>10102</v>
      </c>
      <c r="C28" s="44">
        <f t="shared" si="0"/>
        <v>160</v>
      </c>
    </row>
    <row r="29" spans="1:14" ht="15" x14ac:dyDescent="0.25">
      <c r="A29" s="7">
        <v>10100</v>
      </c>
      <c r="B29" s="12">
        <v>10106</v>
      </c>
      <c r="C29" s="44">
        <f t="shared" si="0"/>
        <v>185</v>
      </c>
    </row>
    <row r="30" spans="1:14" ht="15" x14ac:dyDescent="0.25">
      <c r="A30" s="7">
        <v>10108</v>
      </c>
      <c r="B30" s="12">
        <v>10110</v>
      </c>
      <c r="C30" s="44">
        <f t="shared" si="0"/>
        <v>50</v>
      </c>
    </row>
    <row r="31" spans="1:14" ht="15" x14ac:dyDescent="0.25">
      <c r="A31" s="7">
        <v>10102</v>
      </c>
      <c r="B31" s="12">
        <v>10104</v>
      </c>
      <c r="C31" s="44">
        <f t="shared" si="0"/>
        <v>-1</v>
      </c>
    </row>
    <row r="32" spans="1:14" ht="15" x14ac:dyDescent="0.25">
      <c r="A32" s="7">
        <v>10106</v>
      </c>
      <c r="B32" s="12">
        <v>10108</v>
      </c>
      <c r="C32" s="44">
        <f t="shared" si="0"/>
        <v>70</v>
      </c>
    </row>
    <row r="33" spans="1:3" ht="15" x14ac:dyDescent="0.25">
      <c r="A33" s="7">
        <v>10102</v>
      </c>
      <c r="B33" s="12">
        <v>10106</v>
      </c>
      <c r="C33" s="44">
        <f t="shared" si="0"/>
        <v>90</v>
      </c>
    </row>
    <row r="34" spans="1:3" ht="15" x14ac:dyDescent="0.25">
      <c r="A34" s="7">
        <v>10110</v>
      </c>
      <c r="B34" s="12">
        <v>10114</v>
      </c>
      <c r="C34" s="44">
        <f t="shared" si="0"/>
        <v>180</v>
      </c>
    </row>
    <row r="35" spans="1:3" ht="15" x14ac:dyDescent="0.25">
      <c r="A35" s="7">
        <v>10104</v>
      </c>
      <c r="B35" s="12">
        <v>10106</v>
      </c>
      <c r="C35" s="44">
        <f t="shared" si="0"/>
        <v>60</v>
      </c>
    </row>
    <row r="36" spans="1:3" ht="15" x14ac:dyDescent="0.25">
      <c r="A36" s="7">
        <v>10110</v>
      </c>
      <c r="B36" s="12">
        <v>10112</v>
      </c>
      <c r="C36" s="44">
        <f t="shared" si="0"/>
        <v>115</v>
      </c>
    </row>
    <row r="37" spans="1:3" ht="15" x14ac:dyDescent="0.25">
      <c r="A37" s="7">
        <v>10100</v>
      </c>
      <c r="B37" s="12">
        <v>10114</v>
      </c>
      <c r="C37" s="44">
        <f t="shared" si="0"/>
        <v>480</v>
      </c>
    </row>
    <row r="38" spans="1:3" ht="15" x14ac:dyDescent="0.25">
      <c r="A38" s="9">
        <v>10112</v>
      </c>
      <c r="B38" s="13">
        <v>10116</v>
      </c>
      <c r="C38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parth agrawal</cp:lastModifiedBy>
  <dcterms:created xsi:type="dcterms:W3CDTF">2015-02-10T17:33:11Z</dcterms:created>
  <dcterms:modified xsi:type="dcterms:W3CDTF">2023-12-10T14:15:57Z</dcterms:modified>
</cp:coreProperties>
</file>